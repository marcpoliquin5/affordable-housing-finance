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007417ca5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270510086c4148"/>
    <x:sheet xmlns:r="http://schemas.openxmlformats.org/officeDocument/2006/relationships" name="Funding" sheetId="2" r:id="R3f6565be4c2f4a91"/>
    <x:sheet xmlns:r="http://schemas.openxmlformats.org/officeDocument/2006/relationships" name="Sources" sheetId="3" r:id="R4dec65a48cb6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&quot;$&quot;#,##0"/>
    <x:numFmt numFmtId="202" formatCode="0.00"/>
  </x:numFmts>
  <x:fonts count="5">
    <x:font>
      <x:sz val="11"/>
      <x:name val="Carlito"/>
    </x:font>
    <x:font>
      <x:sz val="10"/>
      <x:color rgb="FF202A35"/>
      <x:name val="Arial"/>
    </x:font>
    <x:font>
      <x:b/>
      <x:sz val="15"/>
      <x:color rgb="FF16233A"/>
      <x:name val="Arial"/>
    </x:font>
    <x:font>
      <x:i/>
      <x:sz val="10"/>
      <x:color rgb="FF53637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C315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4654076bd48b7" /><Relationship Type="http://schemas.openxmlformats.org/officeDocument/2006/relationships/theme" Target="/xl/theme/theme1.xml" Id="R2ac296b347104942" /><Relationship Type="http://schemas.openxmlformats.org/officeDocument/2006/relationships/sharedStrings" Target="/xl/sharedStrings.xml" Id="Ra260827619a7408f" /><Relationship Type="http://schemas.openxmlformats.org/officeDocument/2006/relationships/worksheet" Target="/xl/worksheets/sheet1.xml" Id="Rf1270510086c4148" /><Relationship Type="http://schemas.openxmlformats.org/officeDocument/2006/relationships/worksheet" Target="/xl/worksheets/sheet2.xml" Id="R3f6565be4c2f4a91" /><Relationship Type="http://schemas.openxmlformats.org/officeDocument/2006/relationships/worksheet" Target="/xl/worksheets/sheet3.xml" Id="R4dec65a48cb6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Published financing review</x:v>
      </x:c>
      <x:c r="B1" s="1"/>
      <x:c r="C1" s="1"/>
      <x:c r="D1" s="1"/>
      <x:c r="E1" s="1"/>
      <x:c r="F1" s="1"/>
      <x:c r="G1" s="1"/>
    </x:row>
    <x:row r="2">
      <x:c r="A2" s="3" t="str">
        <x:v>Housing Trust Group disclosures. USD millions except per-home amounts.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Development</x:v>
      </x:c>
      <x:c r="B4" s="6" t="str">
        <x:v>Homes</x:v>
      </x:c>
      <x:c r="C4" s="6" t="str">
        <x:v>Reported cost ($m)</x:v>
      </x:c>
      <x:c r="D4" s="6" t="str">
        <x:v>Cost per home ($)</x:v>
      </x:c>
      <x:c r="E4" s="6" t="str">
        <x:v>Construction ($m)</x:v>
      </x:c>
      <x:c r="F4" s="6" t="str">
        <x:v>Permanent ($m)</x:v>
      </x:c>
      <x:c r="G4" s="6" t="str">
        <x:v>LIHTC equity ($m)</x:v>
      </x:c>
    </x:row>
    <x:row r="5">
      <x:c r="A5" s="1" t="str">
        <x:v>Rainbow Village</x:v>
      </x:c>
      <x:c r="B5" s="1" t="n">
        <x:v>310</x:v>
      </x:c>
      <x:c r="C5" s="7" t="n">
        <x:v>185</x:v>
      </x:c>
      <x:c r="D5" s="8" t="n">
        <x:f>IF(C5="","",C5*1000000/B5)</x:f>
        <x:v>596774.1935483871</x:v>
      </x:c>
      <x:c r="E5" s="7" t="n">
        <x:f>SUMIF('Funding'!$E$5:$E$19,A5&amp;"|construction_debt",'Funding'!$D$5:$D$19)</x:f>
        <x:v>109.2</x:v>
      </x:c>
      <x:c r="F5" s="7" t="n">
        <x:f>SUMIF('Funding'!$E$5:$E$19,A5&amp;"|permanent_debt",'Funding'!$D$5:$D$19)</x:f>
        <x:v>60.4</x:v>
      </x:c>
      <x:c r="G5" s="7" t="n">
        <x:f>SUMIF('Funding'!$E$5:$E$19,A5&amp;"|equity",'Funding'!$D$5:$D$19)</x:f>
        <x:v>70</x:v>
      </x:c>
    </x:row>
    <x:row r="6">
      <x:c r="A6" s="1" t="str">
        <x:v>Artisan Pointe Phase I</x:v>
      </x:c>
      <x:c r="B6" s="1" t="n">
        <x:v>115</x:v>
      </x:c>
      <x:c r="C6" s="7"/>
      <x:c r="D6" s="8" t="str">
        <x:f>IF(C6="","",C6*1000000/B6)</x:f>
      </x:c>
      <x:c r="E6" s="7" t="n">
        <x:f>SUMIF('Funding'!$E$5:$E$19,A6&amp;"|construction_debt",'Funding'!$D$5:$D$19)</x:f>
        <x:v>39</x:v>
      </x:c>
      <x:c r="F6" s="7" t="n">
        <x:f>SUMIF('Funding'!$E$5:$E$19,A6&amp;"|permanent_debt",'Funding'!$D$5:$D$19)</x:f>
        <x:v>16.9</x:v>
      </x:c>
      <x:c r="G6" s="7" t="n">
        <x:f>SUMIF('Funding'!$E$5:$E$19,A6&amp;"|equity",'Funding'!$D$5:$D$19)</x:f>
        <x:v>31.46</x:v>
      </x:c>
    </x:row>
    <x:row r="7">
      <x:c r="A7" s="1"/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 t="str">
        <x:v>Construction and permanent facilities belong to different financing stages.</x:v>
      </x:c>
      <x:c r="B9" s="1"/>
      <x:c r="C9" s="1"/>
      <x:c r="D9" s="1"/>
      <x:c r="E9" s="1"/>
      <x:c r="F9" s="1"/>
      <x:c r="G9" s="1"/>
    </x:row>
    <x:row r="10">
      <x:c r="A10" s="1" t="str">
        <x:v>The releases do not include complete closing sources and uses. Do not sum the listed amounts as one final capital stack.</x:v>
      </x:c>
      <x:c r="B10" s="1"/>
      <x:c r="C10" s="1"/>
      <x:c r="D10" s="1"/>
      <x:c r="E10" s="1"/>
      <x:c r="F10" s="1"/>
      <x:c r="G10" s="1"/>
    </x:row>
    <x:row r="11">
      <x:c r="A11" s="1" t="str">
        <x:v>Blank cost means the source did not disclose project cost. No operating or return assumptions are included.</x:v>
      </x:c>
      <x:c r="B11" s="1"/>
      <x:c r="C11" s="1"/>
      <x:c r="D11" s="1"/>
      <x:c r="E11" s="1"/>
      <x:c r="F11" s="1"/>
      <x:c r="G1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18" hidden="0" customWidth="1"/>
    <x:col min="5" max="5" width="56" hidden="0" customWidth="1"/>
  </x:cols>
  <x:sheetData>
    <x:row r="1">
      <x:c r="A1" s="2" t="str">
        <x:v>Disclosed financing items</x:v>
      </x:c>
      <x:c r="B1" s="1"/>
      <x:c r="C1" s="1"/>
      <x:c r="D1" s="1"/>
      <x:c r="E1" s="1"/>
    </x:row>
    <x:row r="2">
      <x:c r="A2" s="3" t="str">
        <x:v>Each amount is from the listed Housing Trust Group press release. USD millions.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6" t="str">
        <x:v>Development</x:v>
      </x:c>
      <x:c r="B4" s="6" t="str">
        <x:v>Financing stage</x:v>
      </x:c>
      <x:c r="C4" s="6" t="str">
        <x:v>Instrument</x:v>
      </x:c>
      <x:c r="D4" s="6" t="str">
        <x:v>Amount ($m)</x:v>
      </x:c>
      <x:c r="E4" s="6" t="str">
        <x:v>Formula key</x:v>
      </x:c>
    </x:row>
    <x:row r="5">
      <x:c r="A5" s="1" t="str">
        <x:v>Rainbow Village</x:v>
      </x:c>
      <x:c r="B5" s="1" t="str">
        <x:v>equity</x:v>
      </x:c>
      <x:c r="C5" s="1" t="str">
        <x:v>LIHTC equity</x:v>
      </x:c>
      <x:c r="D5" s="9" t="n">
        <x:v>70</x:v>
      </x:c>
      <x:c r="E5" s="1" t="str">
        <x:v>Rainbow Village|equity</x:v>
      </x:c>
    </x:row>
    <x:row r="6">
      <x:c r="A6" s="1" t="str">
        <x:v>Rainbow Village</x:v>
      </x:c>
      <x:c r="B6" s="1" t="str">
        <x:v>subordinate_debt</x:v>
      </x:c>
      <x:c r="C6" s="1" t="str">
        <x:v>SAIL financing</x:v>
      </x:c>
      <x:c r="D6" s="9" t="n">
        <x:v>15</x:v>
      </x:c>
      <x:c r="E6" s="1" t="str">
        <x:v>Rainbow Village|subordinate_debt</x:v>
      </x:c>
    </x:row>
    <x:row r="7">
      <x:c r="A7" s="1" t="str">
        <x:v>Rainbow Village</x:v>
      </x:c>
      <x:c r="B7" s="1" t="str">
        <x:v>construction_debt</x:v>
      </x:c>
      <x:c r="C7" s="1" t="str">
        <x:v>KeyBank construction financing</x:v>
      </x:c>
      <x:c r="D7" s="9" t="n">
        <x:v>52</x:v>
      </x:c>
      <x:c r="E7" s="1" t="str">
        <x:v>Rainbow Village|construction_debt</x:v>
      </x:c>
    </x:row>
    <x:row r="8">
      <x:c r="A8" s="1" t="str">
        <x:v>Rainbow Village</x:v>
      </x:c>
      <x:c r="B8" s="1" t="str">
        <x:v>construction_debt</x:v>
      </x:c>
      <x:c r="C8" s="1" t="str">
        <x:v>JPMorgan Chase construction financing</x:v>
      </x:c>
      <x:c r="D8" s="9" t="n">
        <x:v>57.2</x:v>
      </x:c>
      <x:c r="E8" s="1" t="str">
        <x:v>Rainbow Village|construction_debt</x:v>
      </x:c>
    </x:row>
    <x:row r="9">
      <x:c r="A9" s="1" t="str">
        <x:v>Rainbow Village</x:v>
      </x:c>
      <x:c r="B9" s="1" t="str">
        <x:v>permanent_debt</x:v>
      </x:c>
      <x:c r="C9" s="1" t="str">
        <x:v>KeyBank permanent financing</x:v>
      </x:c>
      <x:c r="D9" s="9" t="n">
        <x:v>60.4</x:v>
      </x:c>
      <x:c r="E9" s="1" t="str">
        <x:v>Rainbow Village|permanent_debt</x:v>
      </x:c>
    </x:row>
    <x:row r="10">
      <x:c r="A10" s="1" t="str">
        <x:v>Rainbow Village</x:v>
      </x:c>
      <x:c r="B10" s="1" t="str">
        <x:v>grant</x:v>
      </x:c>
      <x:c r="C10" s="1" t="str">
        <x:v>Miami-Dade County grant</x:v>
      </x:c>
      <x:c r="D10" s="9" t="n">
        <x:v>0.5</x:v>
      </x:c>
      <x:c r="E10" s="1" t="str">
        <x:v>Rainbow Village|grant</x:v>
      </x:c>
    </x:row>
    <x:row r="11">
      <x:c r="A11" s="1" t="str">
        <x:v>Rainbow Village</x:v>
      </x:c>
      <x:c r="B11" s="1" t="str">
        <x:v>subordinate_debt</x:v>
      </x:c>
      <x:c r="C11" s="1" t="str">
        <x:v>PHCD seller note</x:v>
      </x:c>
      <x:c r="D11" s="9" t="n">
        <x:v>3.1</x:v>
      </x:c>
      <x:c r="E11" s="1" t="str">
        <x:v>Rainbow Village|subordinate_debt</x:v>
      </x:c>
    </x:row>
    <x:row r="12">
      <x:c r="A12" s="1" t="str">
        <x:v>Rainbow Village</x:v>
      </x:c>
      <x:c r="B12" s="1" t="str">
        <x:v>subordinate_debt</x:v>
      </x:c>
      <x:c r="C12" s="1" t="str">
        <x:v>PHCD HOME loan</x:v>
      </x:c>
      <x:c r="D12" s="9" t="n">
        <x:v>3</x:v>
      </x:c>
      <x:c r="E12" s="1" t="str">
        <x:v>Rainbow Village|subordinate_debt</x:v>
      </x:c>
    </x:row>
    <x:row r="13">
      <x:c r="A13" s="1" t="str">
        <x:v>Rainbow Village</x:v>
      </x:c>
      <x:c r="B13" s="1" t="str">
        <x:v>subordinate_debt</x:v>
      </x:c>
      <x:c r="C13" s="1" t="str">
        <x:v>SEOPW CRA loan</x:v>
      </x:c>
      <x:c r="D13" s="9" t="n">
        <x:v>15</x:v>
      </x:c>
      <x:c r="E13" s="1" t="str">
        <x:v>Rainbow Village|subordinate_debt</x:v>
      </x:c>
    </x:row>
    <x:row r="14">
      <x:c r="A14" s="1" t="str">
        <x:v>Rainbow Village</x:v>
      </x:c>
      <x:c r="B14" s="1" t="str">
        <x:v>other_disclosed</x:v>
      </x:c>
      <x:c r="C14" s="1" t="str">
        <x:v>Bond Reinvestment Earnings</x:v>
      </x:c>
      <x:c r="D14" s="9" t="n">
        <x:v>11.8</x:v>
      </x:c>
      <x:c r="E14" s="1" t="str">
        <x:v>Rainbow Village|other_disclosed</x:v>
      </x:c>
    </x:row>
    <x:row r="15">
      <x:c r="A15" s="1" t="str">
        <x:v>Artisan Pointe Phase I</x:v>
      </x:c>
      <x:c r="B15" s="1" t="str">
        <x:v>equity</x:v>
      </x:c>
      <x:c r="C15" s="1" t="str">
        <x:v>LIHTC equity</x:v>
      </x:c>
      <x:c r="D15" s="9" t="n">
        <x:v>31.46</x:v>
      </x:c>
      <x:c r="E15" s="1" t="str">
        <x:v>Artisan Pointe Phase I|equity</x:v>
      </x:c>
    </x:row>
    <x:row r="16">
      <x:c r="A16" s="1" t="str">
        <x:v>Artisan Pointe Phase I</x:v>
      </x:c>
      <x:c r="B16" s="1" t="str">
        <x:v>construction_debt</x:v>
      </x:c>
      <x:c r="C16" s="1" t="str">
        <x:v>U.S. Bancorp construction loan</x:v>
      </x:c>
      <x:c r="D16" s="9" t="n">
        <x:v>39</x:v>
      </x:c>
      <x:c r="E16" s="1" t="str">
        <x:v>Artisan Pointe Phase I|construction_debt</x:v>
      </x:c>
    </x:row>
    <x:row r="17">
      <x:c r="A17" s="1" t="str">
        <x:v>Artisan Pointe Phase I</x:v>
      </x:c>
      <x:c r="B17" s="1" t="str">
        <x:v>permanent_debt</x:v>
      </x:c>
      <x:c r="C17" s="1" t="str">
        <x:v>Berkadia-arranged permanent loan</x:v>
      </x:c>
      <x:c r="D17" s="9" t="n">
        <x:v>16.9</x:v>
      </x:c>
      <x:c r="E17" s="1" t="str">
        <x:v>Artisan Pointe Phase I|permanent_debt</x:v>
      </x:c>
    </x:row>
    <x:row r="18">
      <x:c r="A18" s="1" t="str">
        <x:v>Artisan Pointe Phase I</x:v>
      </x:c>
      <x:c r="B18" s="1" t="str">
        <x:v>subordinate_debt</x:v>
      </x:c>
      <x:c r="C18" s="1" t="str">
        <x:v>Naranja Lakes CRA loan</x:v>
      </x:c>
      <x:c r="D18" s="9" t="n">
        <x:v>3.5</x:v>
      </x:c>
      <x:c r="E18" s="1" t="str">
        <x:v>Artisan Pointe Phase I|subordinate_debt</x:v>
      </x:c>
    </x:row>
    <x:row r="19">
      <x:c r="A19" s="1" t="str">
        <x:v>Artisan Pointe Phase I</x:v>
      </x:c>
      <x:c r="B19" s="1" t="str">
        <x:v>reimbursement</x:v>
      </x:c>
      <x:c r="C19" s="1" t="str">
        <x:v>Naranja Lakes CRA TIF reimbursements</x:v>
      </x:c>
      <x:c r="D19" s="9" t="n">
        <x:v>3.5</x:v>
      </x:c>
      <x:c r="E19" s="1" t="str">
        <x:v>Artisan Pointe Phase I|reimbursement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75" hidden="0" customWidth="1"/>
    <x:col min="4" max="4" width="44" hidden="0" customWidth="1"/>
  </x:cols>
  <x:sheetData>
    <x:row r="1">
      <x:c r="A1" s="2" t="str">
        <x:v>Sources</x:v>
      </x:c>
      <x:c r="B1" s="1"/>
      <x:c r="C1" s="1"/>
      <x:c r="D1" s="1"/>
    </x:row>
    <x:row r="2">
      <x:c r="A2" s="3"/>
      <x:c r="B2" s="1"/>
      <x:c r="C2" s="1"/>
      <x:c r="D2" s="1"/>
    </x:row>
    <x:row r="3" ht="32" customHeight="1">
      <x:c r="A3" s="6" t="str">
        <x:v>Development</x:v>
      </x:c>
      <x:c r="B3" s="6" t="str">
        <x:v>Publication date</x:v>
      </x:c>
      <x:c r="C3" s="6" t="str">
        <x:v>Source URL</x:v>
      </x:c>
      <x:c r="D3" s="6" t="str">
        <x:v>Scope</x:v>
      </x:c>
    </x:row>
    <x:row r="4" ht="72" customHeight="1">
      <x:c r="A4" s="1" t="str">
        <x:v>Rainbow Village</x:v>
      </x:c>
      <x:c r="B4" s="1" t="str">
        <x:v>2025-02-05</x:v>
      </x:c>
      <x:c r="C4" s="10" t="str">
        <x:v>https://www.htgf.com/news/rainbow-village-breaks-ground-miami-fl</x:v>
      </x:c>
      <x:c r="D4" s="1" t="str">
        <x:v>Published development and financing facts</x:v>
      </x:c>
    </x:row>
    <x:row r="5" ht="72" customHeight="1">
      <x:c r="A5" s="1" t="str">
        <x:v>Artisan Pointe Phase I</x:v>
      </x:c>
      <x:c r="B5" s="1" t="str">
        <x:v>2026-07-21</x:v>
      </x:c>
      <x:c r="C5" s="10" t="str">
        <x:v>https://www.htgf.com/news/housing-trust-group-am-affordable-housing-secure-financing-for-phase-i-of-new-affordable-community-in-naranja-florida</x:v>
      </x:c>
      <x:c r="D5" s="1" t="str">
        <x:v>Published development and financing facts</x:v>
      </x:c>
    </x:row>
  </x:sheetData>
  <x:pageMargins left="0.7" right="0.7" top="0.75" bottom="0.75" header="0.3" footer="0.3"/>
</x:worksheet>
</file>